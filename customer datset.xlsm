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ssham\Downloads\"/>
    </mc:Choice>
  </mc:AlternateContent>
  <xr:revisionPtr revIDLastSave="0" documentId="13_ncr:1_{A938433A-1BB9-4E11-AABB-D3D491382F0E}" xr6:coauthVersionLast="47" xr6:coauthVersionMax="47" xr10:uidLastSave="{00000000-0000-0000-0000-000000000000}"/>
  <bookViews>
    <workbookView xWindow="-108" yWindow="-108" windowWidth="23256" windowHeight="12456"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91029"/>
  <pivotCaches>
    <pivotCache cacheId="24"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<sst xmlns="http://schemas.openxmlformats.org/spreadsheetml/2006/main" count="6557" uniqueCount="1584">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</sst>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datset.xlsm]Pivot!pvtMonthly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Pivot!$A$3:$A$6</c:f>
              <c:strCache>
                <c:ptCount val="3"/>
                <c:pt idx="0">
                  <c:v>Mar</c:v>
                </c:pt>
                <c:pt idx="1">
                  <c:v>Apr</c:v>
                </c:pt>
                <c:pt idx="2">
                  <c:v>Sep</c:v>
                </c:pt>
              </c:strCache>
            </c:strRef>
          </c:cat>
          <c:val>
            <c:numRef>
              <c:f>Pivot!$B$3:$B$6</c:f>
              <c:numCache>
                <c:formatCode>#,##0</c:formatCode>
                <c:ptCount val="3"/>
                <c:pt idx="0">
                  <c:v>367478</c:v>
                </c:pt>
                <c:pt idx="1">
                  <c:v>561637</c:v>
                </c:pt>
                <c:pt idx="2">
                  <c:v>726947</c:v>
                </c:pt>
              </c:numCache>
            </c:numRef>
          </c:val>
          <c:smooth val="0"/>
          <c:extLst>
            <c:ext xmlns:c16="http://schemas.microsoft.com/office/drawing/2014/chart" uri="{C3380CC4-5D6E-409C-BE32-E72D297353CC}">
              <c16:uniqueId val="{00000000-6848-44A5-A8DC-501C4234059F}"/>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Pivot!$A$3:$A$6</c:f>
              <c:strCache>
                <c:ptCount val="3"/>
                <c:pt idx="0">
                  <c:v>Mar</c:v>
                </c:pt>
                <c:pt idx="1">
                  <c:v>Apr</c:v>
                </c:pt>
                <c:pt idx="2">
                  <c:v>Sep</c:v>
                </c:pt>
              </c:strCache>
            </c:strRef>
          </c:cat>
          <c:val>
            <c:numRef>
              <c:f>Pivot!$C$3:$C$6</c:f>
              <c:numCache>
                <c:formatCode>#,##0</c:formatCode>
                <c:ptCount val="3"/>
                <c:pt idx="0">
                  <c:v>194262</c:v>
                </c:pt>
                <c:pt idx="1">
                  <c:v>487979</c:v>
                </c:pt>
                <c:pt idx="2">
                  <c:v>278070</c:v>
                </c:pt>
              </c:numCache>
            </c:numRef>
          </c:val>
          <c:smooth val="0"/>
          <c:extLst>
            <c:ext xmlns:c16="http://schemas.microsoft.com/office/drawing/2014/chart" uri="{C3380CC4-5D6E-409C-BE32-E72D297353CC}">
              <c16:uniqueId val="{00000001-6848-44A5-A8DC-501C4234059F}"/>
            </c:ext>
          </c:extLst>
        </c:ser>
        <c:dLbls>
          <c:showLegendKey val="0"/>
          <c:showVal val="0"/>
          <c:showCatName val="0"/>
          <c:showSerName val="0"/>
          <c:showPercent val="0"/>
          <c:showBubbleSize val="0"/>
        </c:dLbls>
        <c:marker val="1"/>
        <c:smooth val="0"/>
        <c:axId val="440382064"/>
        <c:axId val="338949440"/>
      </c:lineChart>
      <c:catAx>
        <c:axId val="440382064"/>
        <c:scaling>
          <c:orientation val="minMax"/>
        </c:scaling>
        <c:delete val="0"/>
        <c:axPos val="b"/>
        <c:numFmt formatCode="General" sourceLinked="1"/>
        <c:majorTickMark val="out"/>
        <c:minorTickMark val="none"/>
        <c:tickLblPos val="nextTo"/>
        <c:crossAx val="338949440"/>
        <c:crosses val="autoZero"/>
        <c:auto val="1"/>
        <c:lblAlgn val="ctr"/>
        <c:lblOffset val="100"/>
        <c:noMultiLvlLbl val="0"/>
      </c:catAx>
      <c:valAx>
        <c:axId val="338949440"/>
        <c:scaling>
          <c:orientation val="minMax"/>
        </c:scaling>
        <c:delete val="0"/>
        <c:axPos val="l"/>
        <c:majorGridlines>
          <c:spPr>
            <a:ln>
              <a:solidFill>
                <a:srgbClr val="E6EAF2"/>
              </a:solidFill>
            </a:ln>
          </c:spPr>
        </c:majorGridlines>
        <c:numFmt formatCode="#,##0" sourceLinked="1"/>
        <c:majorTickMark val="out"/>
        <c:minorTickMark val="none"/>
        <c:tickLblPos val="nextTo"/>
        <c:crossAx val="440382064"/>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datset.xlsm]Pivot!pvtRegion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Pivot!$A$21:$A$22</c:f>
              <c:strCache>
                <c:ptCount val="1"/>
                <c:pt idx="0">
                  <c:v>West</c:v>
                </c:pt>
              </c:strCache>
            </c:strRef>
          </c:cat>
          <c:val>
            <c:numRef>
              <c:f>Pivot!$B$21:$B$22</c:f>
              <c:numCache>
                <c:formatCode>#,##0</c:formatCode>
                <c:ptCount val="1"/>
                <c:pt idx="0">
                  <c:v>1656062</c:v>
                </c:pt>
              </c:numCache>
            </c:numRef>
          </c:val>
          <c:extLst>
            <c:ext xmlns:c16="http://schemas.microsoft.com/office/drawing/2014/chart" uri="{C3380CC4-5D6E-409C-BE32-E72D297353CC}">
              <c16:uniqueId val="{00000000-306E-4471-A990-1FAA061B43A3}"/>
            </c:ext>
          </c:extLst>
        </c:ser>
        <c:dLbls>
          <c:showLegendKey val="0"/>
          <c:showVal val="0"/>
          <c:showCatName val="0"/>
          <c:showSerName val="0"/>
          <c:showPercent val="0"/>
          <c:showBubbleSize val="0"/>
        </c:dLbls>
        <c:gapWidth val="150"/>
        <c:axId val="440385776"/>
        <c:axId val="338947520"/>
      </c:barChart>
      <c:catAx>
        <c:axId val="440385776"/>
        <c:scaling>
          <c:orientation val="minMax"/>
        </c:scaling>
        <c:delete val="0"/>
        <c:axPos val="b"/>
        <c:numFmt formatCode="General" sourceLinked="1"/>
        <c:majorTickMark val="out"/>
        <c:minorTickMark val="none"/>
        <c:tickLblPos val="nextTo"/>
        <c:crossAx val="338947520"/>
        <c:crosses val="autoZero"/>
        <c:auto val="1"/>
        <c:lblAlgn val="ctr"/>
        <c:lblOffset val="100"/>
        <c:noMultiLvlLbl val="0"/>
      </c:catAx>
      <c:valAx>
        <c:axId val="338947520"/>
        <c:scaling>
          <c:orientation val="minMax"/>
        </c:scaling>
        <c:delete val="0"/>
        <c:axPos val="l"/>
        <c:majorGridlines>
          <c:spPr>
            <a:ln>
              <a:solidFill>
                <a:srgbClr val="E6EAF2"/>
              </a:solidFill>
            </a:ln>
          </c:spPr>
        </c:majorGridlines>
        <c:numFmt formatCode="#,##0" sourceLinked="1"/>
        <c:majorTickMark val="out"/>
        <c:minorTickMark val="none"/>
        <c:tickLblPos val="nextTo"/>
        <c:crossAx val="440385776"/>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datset.xlsm]Pivot!pvtManager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Pivot!$A$36:$A$42</c:f>
              <c:strCache>
                <c:ptCount val="6"/>
                <c:pt idx="0">
                  <c:v>Manager_1</c:v>
                </c:pt>
                <c:pt idx="1">
                  <c:v>Manager_4</c:v>
                </c:pt>
                <c:pt idx="2">
                  <c:v>Manager_5</c:v>
                </c:pt>
                <c:pt idx="3">
                  <c:v>Manager_6</c:v>
                </c:pt>
                <c:pt idx="4">
                  <c:v>Manager_7</c:v>
                </c:pt>
                <c:pt idx="5">
                  <c:v>Manager_8</c:v>
                </c:pt>
              </c:strCache>
            </c:strRef>
          </c:cat>
          <c:val>
            <c:numRef>
              <c:f>Pivot!$B$36:$B$42</c:f>
              <c:numCache>
                <c:formatCode>#,##0</c:formatCode>
                <c:ptCount val="6"/>
                <c:pt idx="0">
                  <c:v>361818</c:v>
                </c:pt>
                <c:pt idx="1">
                  <c:v>460883</c:v>
                </c:pt>
                <c:pt idx="2">
                  <c:v>71524</c:v>
                </c:pt>
                <c:pt idx="3">
                  <c:v>349272</c:v>
                </c:pt>
                <c:pt idx="4">
                  <c:v>102783</c:v>
                </c:pt>
                <c:pt idx="5">
                  <c:v>309782</c:v>
                </c:pt>
              </c:numCache>
            </c:numRef>
          </c:val>
          <c:extLst>
            <c:ext xmlns:c16="http://schemas.microsoft.com/office/drawing/2014/chart" uri="{C3380CC4-5D6E-409C-BE32-E72D297353CC}">
              <c16:uniqueId val="{00000000-ABB6-463D-8EC2-41C974F7873A}"/>
            </c:ext>
          </c:extLst>
        </c:ser>
        <c:dLbls>
          <c:showLegendKey val="0"/>
          <c:showVal val="0"/>
          <c:showCatName val="0"/>
          <c:showSerName val="0"/>
          <c:showPercent val="0"/>
          <c:showBubbleSize val="0"/>
        </c:dLbls>
        <c:gapWidth val="150"/>
        <c:axId val="440388096"/>
        <c:axId val="338936480"/>
      </c:barChart>
      <c:catAx>
        <c:axId val="440388096"/>
        <c:scaling>
          <c:orientation val="minMax"/>
        </c:scaling>
        <c:delete val="0"/>
        <c:axPos val="l"/>
        <c:numFmt formatCode="General" sourceLinked="1"/>
        <c:majorTickMark val="out"/>
        <c:minorTickMark val="none"/>
        <c:tickLblPos val="nextTo"/>
        <c:crossAx val="338936480"/>
        <c:crosses val="autoZero"/>
        <c:auto val="1"/>
        <c:lblAlgn val="ctr"/>
        <c:lblOffset val="100"/>
        <c:noMultiLvlLbl val="0"/>
      </c:catAx>
      <c:valAx>
        <c:axId val="338936480"/>
        <c:scaling>
          <c:orientation val="minMax"/>
        </c:scaling>
        <c:delete val="0"/>
        <c:axPos val="b"/>
        <c:majorGridlines>
          <c:spPr>
            <a:ln>
              <a:solidFill>
                <a:srgbClr val="E6EAF2"/>
              </a:solidFill>
            </a:ln>
          </c:spPr>
        </c:majorGridlines>
        <c:numFmt formatCode="#,##0" sourceLinked="1"/>
        <c:majorTickMark val="out"/>
        <c:minorTickMark val="none"/>
        <c:tickLblPos val="nextTo"/>
        <c:crossAx val="440388096"/>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datset.xlsm]Pivot!pvtCategory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7091929345732382E-2"/>
          <c:y val="0.24162772779129185"/>
          <c:w val="0.72359894050317375"/>
          <c:h val="0.75837227220870818"/>
        </c:manualLayout>
      </c:layout>
      <c:doughnutChart>
        <c:varyColors val="1"/>
        <c:ser>
          <c:idx val="0"/>
          <c:order val="0"/>
          <c:tx>
            <c:strRef>
              <c:f>Pivot!$G$2</c:f>
              <c:strCache>
                <c:ptCount val="1"/>
                <c:pt idx="0">
                  <c:v>Total</c:v>
                </c:pt>
              </c:strCache>
            </c:strRef>
          </c:tx>
          <c:dPt>
            <c:idx val="0"/>
            <c:bubble3D val="0"/>
            <c:spPr>
              <a:solidFill>
                <a:srgbClr val="DC2626"/>
              </a:solidFill>
            </c:spPr>
            <c:extLst>
              <c:ext xmlns:c16="http://schemas.microsoft.com/office/drawing/2014/chart" uri="{C3380CC4-5D6E-409C-BE32-E72D297353CC}">
                <c16:uniqueId val="{00000001-8415-49C2-994D-7646E4BBD533}"/>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Pivot!$F$3:$F$4</c:f>
              <c:strCache>
                <c:ptCount val="1"/>
                <c:pt idx="0">
                  <c:v>Furniture</c:v>
                </c:pt>
              </c:strCache>
            </c:strRef>
          </c:cat>
          <c:val>
            <c:numRef>
              <c:f>Pivot!$G$3:$G$4</c:f>
              <c:numCache>
                <c:formatCode>#,##0</c:formatCode>
                <c:ptCount val="1"/>
                <c:pt idx="0">
                  <c:v>1656062</c:v>
                </c:pt>
              </c:numCache>
            </c:numRef>
          </c:val>
          <c:extLst>
            <c:ext xmlns:c16="http://schemas.microsoft.com/office/drawing/2014/chart" uri="{C3380CC4-5D6E-409C-BE32-E72D297353CC}">
              <c16:uniqueId val="{00000000-8415-49C2-994D-7646E4BBD533}"/>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datset.xlsm]Pivot!pvtTopProducts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Pivot!$F$36:$F$43</c:f>
              <c:strCache>
                <c:ptCount val="7"/>
                <c:pt idx="0">
                  <c:v>Chair</c:v>
                </c:pt>
                <c:pt idx="1">
                  <c:v>Headphones</c:v>
                </c:pt>
                <c:pt idx="2">
                  <c:v>Laptop</c:v>
                </c:pt>
                <c:pt idx="3">
                  <c:v>Phone</c:v>
                </c:pt>
                <c:pt idx="4">
                  <c:v>Shirt</c:v>
                </c:pt>
                <c:pt idx="5">
                  <c:v>Shoes</c:v>
                </c:pt>
                <c:pt idx="6">
                  <c:v>Watch</c:v>
                </c:pt>
              </c:strCache>
            </c:strRef>
          </c:cat>
          <c:val>
            <c:numRef>
              <c:f>Pivot!$G$36:$G$43</c:f>
              <c:numCache>
                <c:formatCode>#,##0</c:formatCode>
                <c:ptCount val="7"/>
                <c:pt idx="0">
                  <c:v>141378</c:v>
                </c:pt>
                <c:pt idx="1">
                  <c:v>99407</c:v>
                </c:pt>
                <c:pt idx="2">
                  <c:v>414641</c:v>
                </c:pt>
                <c:pt idx="3">
                  <c:v>428708</c:v>
                </c:pt>
                <c:pt idx="4">
                  <c:v>464754</c:v>
                </c:pt>
                <c:pt idx="5">
                  <c:v>74900</c:v>
                </c:pt>
                <c:pt idx="6">
                  <c:v>32274</c:v>
                </c:pt>
              </c:numCache>
            </c:numRef>
          </c:val>
          <c:extLst>
            <c:ext xmlns:c16="http://schemas.microsoft.com/office/drawing/2014/chart" uri="{C3380CC4-5D6E-409C-BE32-E72D297353CC}">
              <c16:uniqueId val="{00000000-772A-4BC5-9869-C0B0D30040DE}"/>
            </c:ext>
          </c:extLst>
        </c:ser>
        <c:dLbls>
          <c:showLegendKey val="0"/>
          <c:showVal val="0"/>
          <c:showCatName val="0"/>
          <c:showSerName val="0"/>
          <c:showPercent val="0"/>
          <c:showBubbleSize val="0"/>
        </c:dLbls>
        <c:gapWidth val="150"/>
        <c:axId val="397705760"/>
        <c:axId val="196000320"/>
      </c:barChart>
      <c:catAx>
        <c:axId val="397705760"/>
        <c:scaling>
          <c:orientation val="minMax"/>
        </c:scaling>
        <c:delete val="0"/>
        <c:axPos val="b"/>
        <c:numFmt formatCode="General" sourceLinked="1"/>
        <c:majorTickMark val="out"/>
        <c:minorTickMark val="none"/>
        <c:tickLblPos val="low"/>
        <c:txPr>
          <a:bodyPr rot="-2700000" vert="horz"/>
          <a:lstStyle/>
          <a:p>
            <a:pPr>
              <a:defRPr/>
            </a:pPr>
            <a:endParaRPr lang="en-US"/>
          </a:p>
        </c:txPr>
        <c:crossAx val="196000320"/>
        <c:crosses val="autoZero"/>
        <c:auto val="1"/>
        <c:lblAlgn val="ctr"/>
        <c:lblOffset val="100"/>
        <c:noMultiLvlLbl val="0"/>
      </c:catAx>
      <c:valAx>
        <c:axId val="196000320"/>
        <c:scaling>
          <c:orientation val="minMax"/>
        </c:scaling>
        <c:delete val="0"/>
        <c:axPos val="l"/>
        <c:majorGridlines>
          <c:spPr>
            <a:ln>
              <a:solidFill>
                <a:srgbClr val="E6EAF2"/>
              </a:solidFill>
            </a:ln>
          </c:spPr>
        </c:majorGridlines>
        <c:numFmt formatCode="#,##0" sourceLinked="1"/>
        <c:majorTickMark val="out"/>
        <c:minorTickMark val="none"/>
        <c:tickLblPos val="nextTo"/>
        <c:crossAx val="397705760"/>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50E0F411-9D38-2E70-89B7-9FFC7D1CFCFB}"/>
            </a:ext>
          </a:extLst>
        </xdr:cNvPr>
        <xdr:cNvSpPr/>
      </xdr:nvSpPr>
      <xdr:spPr>
        <a:xfrm>
          <a:off x="11186160" y="502920"/>
          <a:ext cx="1851660" cy="6035040"/>
        </a:xfrm>
        <a:prstGeom prst="rect">
          <a:avLst/>
        </a:prstGeom>
        <a:solidFill>
          <a:srgbClr val="FFFFFF"/>
        </a:solidFill>
        <a:ln w="9525">
          <a:solidFill>
            <a:srgbClr val="D2DA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3090422B-5391-746E-2434-632C12F0E04B}"/>
            </a:ext>
          </a:extLst>
        </xdr:cNvPr>
        <xdr:cNvSpPr/>
      </xdr:nvSpPr>
      <xdr:spPr>
        <a:xfrm>
          <a:off x="0" y="0"/>
          <a:ext cx="13037820" cy="50292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320040</xdr:colOff>
      <xdr:row>9</xdr:row>
      <xdr:rowOff>124460</xdr:rowOff>
    </xdr:to>
    <xdr:sp macro="" textlink="">
      <xdr:nvSpPr>
        <xdr:cNvPr id="3" name="KPI_Card_0">
          <a:extLst>
            <a:ext uri="{FF2B5EF4-FFF2-40B4-BE49-F238E27FC236}">
              <a16:creationId xmlns:a16="http://schemas.microsoft.com/office/drawing/2014/main" id="{E1FB8ADC-1580-C76F-4560-B5A5943D41BE}"/>
            </a:ext>
          </a:extLst>
        </xdr:cNvPr>
        <xdr:cNvSpPr/>
      </xdr:nvSpPr>
      <xdr:spPr>
        <a:xfrm>
          <a:off x="635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320040</xdr:colOff>
      <xdr:row>4</xdr:row>
      <xdr:rowOff>35560</xdr:rowOff>
    </xdr:to>
    <xdr:sp macro="" textlink="">
      <xdr:nvSpPr>
        <xdr:cNvPr id="4" name="KPI_Accent_0">
          <a:extLst>
            <a:ext uri="{FF2B5EF4-FFF2-40B4-BE49-F238E27FC236}">
              <a16:creationId xmlns:a16="http://schemas.microsoft.com/office/drawing/2014/main" id="{6EB31664-0B0C-7758-6E36-6413BDF9C943}"/>
            </a:ext>
          </a:extLst>
        </xdr:cNvPr>
        <xdr:cNvSpPr/>
      </xdr:nvSpPr>
      <xdr:spPr>
        <a:xfrm>
          <a:off x="63500" y="553720"/>
          <a:ext cx="21082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243840</xdr:colOff>
      <xdr:row>6</xdr:row>
      <xdr:rowOff>43180</xdr:rowOff>
    </xdr:to>
    <xdr:sp macro="" textlink="">
      <xdr:nvSpPr>
        <xdr:cNvPr id="5" name="KPI_Title_0">
          <a:extLst>
            <a:ext uri="{FF2B5EF4-FFF2-40B4-BE49-F238E27FC236}">
              <a16:creationId xmlns:a16="http://schemas.microsoft.com/office/drawing/2014/main" id="{429950CB-D7B7-65A4-C0A3-CCDF6C4DBE59}"/>
            </a:ext>
          </a:extLst>
        </xdr:cNvPr>
        <xdr:cNvSpPr txBox="1"/>
      </xdr:nvSpPr>
      <xdr:spPr>
        <a:xfrm>
          <a:off x="1397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269240</xdr:colOff>
      <xdr:row>9</xdr:row>
      <xdr:rowOff>86360</xdr:rowOff>
    </xdr:to>
    <xdr:sp macro="" textlink="Pivot!L5">
      <xdr:nvSpPr>
        <xdr:cNvPr id="6" name="KPI_Value_0">
          <a:extLst>
            <a:ext uri="{FF2B5EF4-FFF2-40B4-BE49-F238E27FC236}">
              <a16:creationId xmlns:a16="http://schemas.microsoft.com/office/drawing/2014/main" id="{13977DF4-A752-CB47-DBFF-A3ACAF64BE38}"/>
            </a:ext>
          </a:extLst>
        </xdr:cNvPr>
        <xdr:cNvSpPr txBox="1"/>
      </xdr:nvSpPr>
      <xdr:spPr>
        <a:xfrm>
          <a:off x="1143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943CEF6-8C7D-463A-B72F-47FC40A54243}" type="TxLink">
            <a:rPr lang="en-US" sz="2400" b="1" i="0" u="none" strike="noStrike">
              <a:solidFill>
                <a:srgbClr val="0F2041"/>
              </a:solidFill>
              <a:latin typeface="Calibri" panose="020F0502020204030204" pitchFamily="34" charset="0"/>
            </a:rPr>
            <a:pPr algn="ctr"/>
            <a:t>16,56,062</a:t>
          </a:fld>
          <a:endParaRPr lang="en-IN" sz="2400" b="1">
            <a:solidFill>
              <a:srgbClr val="0F2041"/>
            </a:solidFill>
            <a:latin typeface="Calibri" panose="020F0502020204030204" pitchFamily="34" charset="0"/>
          </a:endParaRPr>
        </a:p>
      </xdr:txBody>
    </xdr:sp>
    <xdr:clientData/>
  </xdr:twoCellAnchor>
  <xdr:twoCellAnchor>
    <xdr:from>
      <xdr:col>3</xdr:col>
      <xdr:colOff>421640</xdr:colOff>
      <xdr:row>3</xdr:row>
      <xdr:rowOff>50800</xdr:rowOff>
    </xdr:from>
    <xdr:to>
      <xdr:col>7</xdr:col>
      <xdr:colOff>60960</xdr:colOff>
      <xdr:row>9</xdr:row>
      <xdr:rowOff>124460</xdr:rowOff>
    </xdr:to>
    <xdr:sp macro="" textlink="">
      <xdr:nvSpPr>
        <xdr:cNvPr id="7" name="KPI_Card_1">
          <a:extLst>
            <a:ext uri="{FF2B5EF4-FFF2-40B4-BE49-F238E27FC236}">
              <a16:creationId xmlns:a16="http://schemas.microsoft.com/office/drawing/2014/main" id="{5782EDD0-97E4-CC1E-8D9E-968152E22635}"/>
            </a:ext>
          </a:extLst>
        </xdr:cNvPr>
        <xdr:cNvSpPr/>
      </xdr:nvSpPr>
      <xdr:spPr>
        <a:xfrm>
          <a:off x="22733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421640</xdr:colOff>
      <xdr:row>3</xdr:row>
      <xdr:rowOff>50800</xdr:rowOff>
    </xdr:from>
    <xdr:to>
      <xdr:col>7</xdr:col>
      <xdr:colOff>60960</xdr:colOff>
      <xdr:row>4</xdr:row>
      <xdr:rowOff>35560</xdr:rowOff>
    </xdr:to>
    <xdr:sp macro="" textlink="">
      <xdr:nvSpPr>
        <xdr:cNvPr id="8" name="KPI_Accent_1">
          <a:extLst>
            <a:ext uri="{FF2B5EF4-FFF2-40B4-BE49-F238E27FC236}">
              <a16:creationId xmlns:a16="http://schemas.microsoft.com/office/drawing/2014/main" id="{CEE12A4A-C973-AA8F-48A7-CDDDA75A303F}"/>
            </a:ext>
          </a:extLst>
        </xdr:cNvPr>
        <xdr:cNvSpPr/>
      </xdr:nvSpPr>
      <xdr:spPr>
        <a:xfrm>
          <a:off x="2273300" y="553720"/>
          <a:ext cx="21082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497840</xdr:colOff>
      <xdr:row>4</xdr:row>
      <xdr:rowOff>99060</xdr:rowOff>
    </xdr:from>
    <xdr:to>
      <xdr:col>6</xdr:col>
      <xdr:colOff>601980</xdr:colOff>
      <xdr:row>6</xdr:row>
      <xdr:rowOff>43180</xdr:rowOff>
    </xdr:to>
    <xdr:sp macro="" textlink="">
      <xdr:nvSpPr>
        <xdr:cNvPr id="9" name="KPI_Title_1">
          <a:extLst>
            <a:ext uri="{FF2B5EF4-FFF2-40B4-BE49-F238E27FC236}">
              <a16:creationId xmlns:a16="http://schemas.microsoft.com/office/drawing/2014/main" id="{F2D6DB50-480B-EAD7-8239-AEB426AF082E}"/>
            </a:ext>
          </a:extLst>
        </xdr:cNvPr>
        <xdr:cNvSpPr txBox="1"/>
      </xdr:nvSpPr>
      <xdr:spPr>
        <a:xfrm>
          <a:off x="23495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472440</xdr:colOff>
      <xdr:row>6</xdr:row>
      <xdr:rowOff>81280</xdr:rowOff>
    </xdr:from>
    <xdr:to>
      <xdr:col>7</xdr:col>
      <xdr:colOff>10160</xdr:colOff>
      <xdr:row>9</xdr:row>
      <xdr:rowOff>86360</xdr:rowOff>
    </xdr:to>
    <xdr:sp macro="" textlink="Pivot!L6">
      <xdr:nvSpPr>
        <xdr:cNvPr id="10" name="KPI_Value_1">
          <a:extLst>
            <a:ext uri="{FF2B5EF4-FFF2-40B4-BE49-F238E27FC236}">
              <a16:creationId xmlns:a16="http://schemas.microsoft.com/office/drawing/2014/main" id="{5ADF9137-83AC-4AC8-A7AB-E988AACCC163}"/>
            </a:ext>
          </a:extLst>
        </xdr:cNvPr>
        <xdr:cNvSpPr txBox="1"/>
      </xdr:nvSpPr>
      <xdr:spPr>
        <a:xfrm>
          <a:off x="23241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AD0D7AA-0A00-45C0-8FBD-32B0531934DF}" type="TxLink">
            <a:rPr lang="en-US" sz="2400" b="1" i="0" u="none" strike="noStrike">
              <a:solidFill>
                <a:srgbClr val="0F2041"/>
              </a:solidFill>
              <a:latin typeface="Calibri" panose="020F0502020204030204" pitchFamily="34" charset="0"/>
            </a:rPr>
            <a:pPr algn="ctr"/>
            <a:t>9,60,311</a:t>
          </a:fld>
          <a:endParaRPr lang="en-IN" sz="2400" b="1">
            <a:solidFill>
              <a:srgbClr val="0F2041"/>
            </a:solidFill>
            <a:latin typeface="Calibri" panose="020F0502020204030204" pitchFamily="34" charset="0"/>
          </a:endParaRPr>
        </a:p>
      </xdr:txBody>
    </xdr:sp>
    <xdr:clientData/>
  </xdr:twoCellAnchor>
  <xdr:twoCellAnchor>
    <xdr:from>
      <xdr:col>7</xdr:col>
      <xdr:colOff>162560</xdr:colOff>
      <xdr:row>3</xdr:row>
      <xdr:rowOff>50800</xdr:rowOff>
    </xdr:from>
    <xdr:to>
      <xdr:col>10</xdr:col>
      <xdr:colOff>419100</xdr:colOff>
      <xdr:row>9</xdr:row>
      <xdr:rowOff>124460</xdr:rowOff>
    </xdr:to>
    <xdr:sp macro="" textlink="">
      <xdr:nvSpPr>
        <xdr:cNvPr id="11" name="KPI_Card_2">
          <a:extLst>
            <a:ext uri="{FF2B5EF4-FFF2-40B4-BE49-F238E27FC236}">
              <a16:creationId xmlns:a16="http://schemas.microsoft.com/office/drawing/2014/main" id="{CA2AE176-06E6-DDE9-E5F6-23EAC3C577CA}"/>
            </a:ext>
          </a:extLst>
        </xdr:cNvPr>
        <xdr:cNvSpPr/>
      </xdr:nvSpPr>
      <xdr:spPr>
        <a:xfrm>
          <a:off x="44831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162560</xdr:colOff>
      <xdr:row>3</xdr:row>
      <xdr:rowOff>50800</xdr:rowOff>
    </xdr:from>
    <xdr:to>
      <xdr:col>10</xdr:col>
      <xdr:colOff>419100</xdr:colOff>
      <xdr:row>4</xdr:row>
      <xdr:rowOff>35560</xdr:rowOff>
    </xdr:to>
    <xdr:sp macro="" textlink="">
      <xdr:nvSpPr>
        <xdr:cNvPr id="12" name="KPI_Accent_2">
          <a:extLst>
            <a:ext uri="{FF2B5EF4-FFF2-40B4-BE49-F238E27FC236}">
              <a16:creationId xmlns:a16="http://schemas.microsoft.com/office/drawing/2014/main" id="{84960D50-0311-85EE-7D59-C2F505064E33}"/>
            </a:ext>
          </a:extLst>
        </xdr:cNvPr>
        <xdr:cNvSpPr/>
      </xdr:nvSpPr>
      <xdr:spPr>
        <a:xfrm>
          <a:off x="4483100" y="553720"/>
          <a:ext cx="21082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238760</xdr:colOff>
      <xdr:row>4</xdr:row>
      <xdr:rowOff>99060</xdr:rowOff>
    </xdr:from>
    <xdr:to>
      <xdr:col>10</xdr:col>
      <xdr:colOff>342900</xdr:colOff>
      <xdr:row>6</xdr:row>
      <xdr:rowOff>43180</xdr:rowOff>
    </xdr:to>
    <xdr:sp macro="" textlink="">
      <xdr:nvSpPr>
        <xdr:cNvPr id="13" name="KPI_Title_2">
          <a:extLst>
            <a:ext uri="{FF2B5EF4-FFF2-40B4-BE49-F238E27FC236}">
              <a16:creationId xmlns:a16="http://schemas.microsoft.com/office/drawing/2014/main" id="{F37F4CA0-4685-9704-1985-507F18D7BFF1}"/>
            </a:ext>
          </a:extLst>
        </xdr:cNvPr>
        <xdr:cNvSpPr txBox="1"/>
      </xdr:nvSpPr>
      <xdr:spPr>
        <a:xfrm>
          <a:off x="45593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213360</xdr:colOff>
      <xdr:row>6</xdr:row>
      <xdr:rowOff>81280</xdr:rowOff>
    </xdr:from>
    <xdr:to>
      <xdr:col>10</xdr:col>
      <xdr:colOff>368300</xdr:colOff>
      <xdr:row>9</xdr:row>
      <xdr:rowOff>86360</xdr:rowOff>
    </xdr:to>
    <xdr:sp macro="" textlink="Pivot!L7">
      <xdr:nvSpPr>
        <xdr:cNvPr id="14" name="KPI_Value_2">
          <a:extLst>
            <a:ext uri="{FF2B5EF4-FFF2-40B4-BE49-F238E27FC236}">
              <a16:creationId xmlns:a16="http://schemas.microsoft.com/office/drawing/2014/main" id="{39070080-C3AF-FAB4-905F-6D8C153B04D0}"/>
            </a:ext>
          </a:extLst>
        </xdr:cNvPr>
        <xdr:cNvSpPr txBox="1"/>
      </xdr:nvSpPr>
      <xdr:spPr>
        <a:xfrm>
          <a:off x="45339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AF56EDF-4F5A-4C96-B224-06F75AC09F09}" type="TxLink">
            <a:rPr lang="en-US" sz="2400" b="1" i="0" u="none" strike="noStrike">
              <a:solidFill>
                <a:srgbClr val="0F2041"/>
              </a:solidFill>
              <a:latin typeface="Calibri" panose="020F0502020204030204" pitchFamily="34" charset="0"/>
            </a:rPr>
            <a:pPr algn="ctr"/>
            <a:t>11</a:t>
          </a:fld>
          <a:endParaRPr lang="en-IN" sz="2400" b="1">
            <a:solidFill>
              <a:srgbClr val="0F2041"/>
            </a:solidFill>
            <a:latin typeface="Calibri" panose="020F0502020204030204" pitchFamily="34" charset="0"/>
          </a:endParaRPr>
        </a:p>
      </xdr:txBody>
    </xdr:sp>
    <xdr:clientData/>
  </xdr:twoCellAnchor>
  <xdr:twoCellAnchor>
    <xdr:from>
      <xdr:col>10</xdr:col>
      <xdr:colOff>520700</xdr:colOff>
      <xdr:row>3</xdr:row>
      <xdr:rowOff>50800</xdr:rowOff>
    </xdr:from>
    <xdr:to>
      <xdr:col>14</xdr:col>
      <xdr:colOff>160020</xdr:colOff>
      <xdr:row>9</xdr:row>
      <xdr:rowOff>124460</xdr:rowOff>
    </xdr:to>
    <xdr:sp macro="" textlink="">
      <xdr:nvSpPr>
        <xdr:cNvPr id="15" name="KPI_Card_3">
          <a:extLst>
            <a:ext uri="{FF2B5EF4-FFF2-40B4-BE49-F238E27FC236}">
              <a16:creationId xmlns:a16="http://schemas.microsoft.com/office/drawing/2014/main" id="{194AB678-1A44-0A8D-6830-C9AE96CD2BB3}"/>
            </a:ext>
          </a:extLst>
        </xdr:cNvPr>
        <xdr:cNvSpPr/>
      </xdr:nvSpPr>
      <xdr:spPr>
        <a:xfrm>
          <a:off x="66929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520700</xdr:colOff>
      <xdr:row>3</xdr:row>
      <xdr:rowOff>50800</xdr:rowOff>
    </xdr:from>
    <xdr:to>
      <xdr:col>14</xdr:col>
      <xdr:colOff>160020</xdr:colOff>
      <xdr:row>4</xdr:row>
      <xdr:rowOff>35560</xdr:rowOff>
    </xdr:to>
    <xdr:sp macro="" textlink="">
      <xdr:nvSpPr>
        <xdr:cNvPr id="16" name="KPI_Accent_3">
          <a:extLst>
            <a:ext uri="{FF2B5EF4-FFF2-40B4-BE49-F238E27FC236}">
              <a16:creationId xmlns:a16="http://schemas.microsoft.com/office/drawing/2014/main" id="{F829B6F6-FE70-1090-FCB6-8D304BC50143}"/>
            </a:ext>
          </a:extLst>
        </xdr:cNvPr>
        <xdr:cNvSpPr/>
      </xdr:nvSpPr>
      <xdr:spPr>
        <a:xfrm>
          <a:off x="6692900" y="553720"/>
          <a:ext cx="21082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596900</xdr:colOff>
      <xdr:row>4</xdr:row>
      <xdr:rowOff>99060</xdr:rowOff>
    </xdr:from>
    <xdr:to>
      <xdr:col>14</xdr:col>
      <xdr:colOff>83820</xdr:colOff>
      <xdr:row>6</xdr:row>
      <xdr:rowOff>43180</xdr:rowOff>
    </xdr:to>
    <xdr:sp macro="" textlink="">
      <xdr:nvSpPr>
        <xdr:cNvPr id="17" name="KPI_Title_3">
          <a:extLst>
            <a:ext uri="{FF2B5EF4-FFF2-40B4-BE49-F238E27FC236}">
              <a16:creationId xmlns:a16="http://schemas.microsoft.com/office/drawing/2014/main" id="{C27C3C97-128F-C661-A0FA-25FCCFAE0C59}"/>
            </a:ext>
          </a:extLst>
        </xdr:cNvPr>
        <xdr:cNvSpPr txBox="1"/>
      </xdr:nvSpPr>
      <xdr:spPr>
        <a:xfrm>
          <a:off x="67691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571500</xdr:colOff>
      <xdr:row>6</xdr:row>
      <xdr:rowOff>81280</xdr:rowOff>
    </xdr:from>
    <xdr:to>
      <xdr:col>14</xdr:col>
      <xdr:colOff>109220</xdr:colOff>
      <xdr:row>9</xdr:row>
      <xdr:rowOff>86360</xdr:rowOff>
    </xdr:to>
    <xdr:sp macro="" textlink="Pivot!L8">
      <xdr:nvSpPr>
        <xdr:cNvPr id="18" name="KPI_Value_3">
          <a:extLst>
            <a:ext uri="{FF2B5EF4-FFF2-40B4-BE49-F238E27FC236}">
              <a16:creationId xmlns:a16="http://schemas.microsoft.com/office/drawing/2014/main" id="{DDA2BE55-5C46-CFBA-0C78-BA146FFF5D35}"/>
            </a:ext>
          </a:extLst>
        </xdr:cNvPr>
        <xdr:cNvSpPr txBox="1"/>
      </xdr:nvSpPr>
      <xdr:spPr>
        <a:xfrm>
          <a:off x="67437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3D16C01-A098-479A-BC31-F5F89D08127F}" type="TxLink">
            <a:rPr lang="en-US" sz="2400" b="1" i="0" u="none" strike="noStrike">
              <a:solidFill>
                <a:srgbClr val="0F2041"/>
              </a:solidFill>
              <a:latin typeface="Calibri" panose="020F0502020204030204" pitchFamily="34" charset="0"/>
            </a:rPr>
            <a:pPr algn="ctr"/>
            <a:t>172.45%</a:t>
          </a:fld>
          <a:endParaRPr lang="en-IN" sz="2400" b="1">
            <a:solidFill>
              <a:srgbClr val="0F2041"/>
            </a:solidFill>
            <a:latin typeface="Calibri" panose="020F0502020204030204" pitchFamily="34" charset="0"/>
          </a:endParaRPr>
        </a:p>
      </xdr:txBody>
    </xdr:sp>
    <xdr:clientData/>
  </xdr:twoCellAnchor>
  <xdr:twoCellAnchor>
    <xdr:from>
      <xdr:col>14</xdr:col>
      <xdr:colOff>261620</xdr:colOff>
      <xdr:row>3</xdr:row>
      <xdr:rowOff>50800</xdr:rowOff>
    </xdr:from>
    <xdr:to>
      <xdr:col>17</xdr:col>
      <xdr:colOff>518160</xdr:colOff>
      <xdr:row>9</xdr:row>
      <xdr:rowOff>124460</xdr:rowOff>
    </xdr:to>
    <xdr:sp macro="" textlink="">
      <xdr:nvSpPr>
        <xdr:cNvPr id="19" name="KPI_Card_4">
          <a:extLst>
            <a:ext uri="{FF2B5EF4-FFF2-40B4-BE49-F238E27FC236}">
              <a16:creationId xmlns:a16="http://schemas.microsoft.com/office/drawing/2014/main" id="{EB1F51B4-B8DC-7DB2-50A5-1DB2C1CA3E46}"/>
            </a:ext>
          </a:extLst>
        </xdr:cNvPr>
        <xdr:cNvSpPr/>
      </xdr:nvSpPr>
      <xdr:spPr>
        <a:xfrm>
          <a:off x="89027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261620</xdr:colOff>
      <xdr:row>3</xdr:row>
      <xdr:rowOff>50800</xdr:rowOff>
    </xdr:from>
    <xdr:to>
      <xdr:col>17</xdr:col>
      <xdr:colOff>518160</xdr:colOff>
      <xdr:row>4</xdr:row>
      <xdr:rowOff>35560</xdr:rowOff>
    </xdr:to>
    <xdr:sp macro="" textlink="">
      <xdr:nvSpPr>
        <xdr:cNvPr id="20" name="KPI_Accent_4">
          <a:extLst>
            <a:ext uri="{FF2B5EF4-FFF2-40B4-BE49-F238E27FC236}">
              <a16:creationId xmlns:a16="http://schemas.microsoft.com/office/drawing/2014/main" id="{5681789B-57E1-E62C-21C6-46570F87906E}"/>
            </a:ext>
          </a:extLst>
        </xdr:cNvPr>
        <xdr:cNvSpPr/>
      </xdr:nvSpPr>
      <xdr:spPr>
        <a:xfrm>
          <a:off x="8902700" y="553720"/>
          <a:ext cx="21082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337820</xdr:colOff>
      <xdr:row>4</xdr:row>
      <xdr:rowOff>99060</xdr:rowOff>
    </xdr:from>
    <xdr:to>
      <xdr:col>17</xdr:col>
      <xdr:colOff>441960</xdr:colOff>
      <xdr:row>6</xdr:row>
      <xdr:rowOff>43180</xdr:rowOff>
    </xdr:to>
    <xdr:sp macro="" textlink="">
      <xdr:nvSpPr>
        <xdr:cNvPr id="21" name="KPI_Title_4">
          <a:extLst>
            <a:ext uri="{FF2B5EF4-FFF2-40B4-BE49-F238E27FC236}">
              <a16:creationId xmlns:a16="http://schemas.microsoft.com/office/drawing/2014/main" id="{64BE3229-F032-0F54-8EF3-4B6A7465D170}"/>
            </a:ext>
          </a:extLst>
        </xdr:cNvPr>
        <xdr:cNvSpPr txBox="1"/>
      </xdr:nvSpPr>
      <xdr:spPr>
        <a:xfrm>
          <a:off x="89789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312420</xdr:colOff>
      <xdr:row>6</xdr:row>
      <xdr:rowOff>81280</xdr:rowOff>
    </xdr:from>
    <xdr:to>
      <xdr:col>17</xdr:col>
      <xdr:colOff>467360</xdr:colOff>
      <xdr:row>9</xdr:row>
      <xdr:rowOff>86360</xdr:rowOff>
    </xdr:to>
    <xdr:sp macro="" textlink="Pivot!L9">
      <xdr:nvSpPr>
        <xdr:cNvPr id="22" name="KPI_Value_4">
          <a:extLst>
            <a:ext uri="{FF2B5EF4-FFF2-40B4-BE49-F238E27FC236}">
              <a16:creationId xmlns:a16="http://schemas.microsoft.com/office/drawing/2014/main" id="{472DAC91-56C8-C557-88C8-B05A5209EE3A}"/>
            </a:ext>
          </a:extLst>
        </xdr:cNvPr>
        <xdr:cNvSpPr txBox="1"/>
      </xdr:nvSpPr>
      <xdr:spPr>
        <a:xfrm>
          <a:off x="89535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938E745-74C5-402D-8C80-0425A9E41BEA}" type="TxLink">
            <a:rPr lang="en-US" sz="2400" b="1" i="0" u="none" strike="noStrike">
              <a:solidFill>
                <a:srgbClr val="0F2041"/>
              </a:solidFill>
              <a:latin typeface="Calibri" panose="020F0502020204030204" pitchFamily="34" charset="0"/>
            </a:rPr>
            <a:pPr algn="ctr"/>
            <a:t>47</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411480</xdr:colOff>
      <xdr:row>25</xdr:row>
      <xdr:rowOff>129540</xdr:rowOff>
    </xdr:to>
    <xdr:graphicFrame macro="">
      <xdr:nvGraphicFramePr>
        <xdr:cNvPr id="23" name="chtMonthlyTrend">
          <a:extLst>
            <a:ext uri="{FF2B5EF4-FFF2-40B4-BE49-F238E27FC236}">
              <a16:creationId xmlns:a16="http://schemas.microsoft.com/office/drawing/2014/main" id="{ADBEBD65-12F9-9541-68BE-F78A4E5382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513080</xdr:colOff>
      <xdr:row>11</xdr:row>
      <xdr:rowOff>38100</xdr:rowOff>
    </xdr:from>
    <xdr:to>
      <xdr:col>11</xdr:col>
      <xdr:colOff>500380</xdr:colOff>
      <xdr:row>25</xdr:row>
      <xdr:rowOff>129540</xdr:rowOff>
    </xdr:to>
    <xdr:graphicFrame macro="">
      <xdr:nvGraphicFramePr>
        <xdr:cNvPr id="24" name="chtRegion">
          <a:extLst>
            <a:ext uri="{FF2B5EF4-FFF2-40B4-BE49-F238E27FC236}">
              <a16:creationId xmlns:a16="http://schemas.microsoft.com/office/drawing/2014/main" id="{5432F561-4F03-7A10-EFEC-32CDB70A87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601980</xdr:colOff>
      <xdr:row>11</xdr:row>
      <xdr:rowOff>38100</xdr:rowOff>
    </xdr:from>
    <xdr:to>
      <xdr:col>17</xdr:col>
      <xdr:colOff>553720</xdr:colOff>
      <xdr:row>25</xdr:row>
      <xdr:rowOff>129540</xdr:rowOff>
    </xdr:to>
    <xdr:graphicFrame macro="">
      <xdr:nvGraphicFramePr>
        <xdr:cNvPr id="25" name="chtManager">
          <a:extLst>
            <a:ext uri="{FF2B5EF4-FFF2-40B4-BE49-F238E27FC236}">
              <a16:creationId xmlns:a16="http://schemas.microsoft.com/office/drawing/2014/main" id="{004FE1B5-81CF-30D5-37E1-C8FABE73A2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553720</xdr:colOff>
      <xdr:row>39</xdr:row>
      <xdr:rowOff>129540</xdr:rowOff>
    </xdr:to>
    <xdr:graphicFrame macro="">
      <xdr:nvGraphicFramePr>
        <xdr:cNvPr id="26" name="chtCategory">
          <a:extLst>
            <a:ext uri="{FF2B5EF4-FFF2-40B4-BE49-F238E27FC236}">
              <a16:creationId xmlns:a16="http://schemas.microsoft.com/office/drawing/2014/main" id="{999CD96D-1324-0DEF-2F27-A8CD54C6BF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38100</xdr:colOff>
      <xdr:row>26</xdr:row>
      <xdr:rowOff>38100</xdr:rowOff>
    </xdr:from>
    <xdr:to>
      <xdr:col>17</xdr:col>
      <xdr:colOff>553720</xdr:colOff>
      <xdr:row>39</xdr:row>
      <xdr:rowOff>129540</xdr:rowOff>
    </xdr:to>
    <xdr:graphicFrame macro="">
      <xdr:nvGraphicFramePr>
        <xdr:cNvPr id="27" name="chtTopProducts">
          <a:extLst>
            <a:ext uri="{FF2B5EF4-FFF2-40B4-BE49-F238E27FC236}">
              <a16:creationId xmlns:a16="http://schemas.microsoft.com/office/drawing/2014/main" id="{B627BF73-7B2E-1D18-4B64-1529EBDDE1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50799</xdr:colOff>
      <xdr:row>3</xdr:row>
      <xdr:rowOff>50799</xdr:rowOff>
    </xdr:from>
    <xdr:to>
      <xdr:col>21</xdr:col>
      <xdr:colOff>566419</xdr:colOff>
      <xdr:row>11</xdr:row>
      <xdr:rowOff>20319</xdr:rowOff>
    </xdr:to>
    <mc:AlternateContent xmlns:mc="http://schemas.openxmlformats.org/markup-compatibility/2006">
      <mc:Choice xmlns:a14="http://schemas.microsoft.com/office/drawing/2010/main" Requires="a14">
        <xdr:graphicFrame macro="">
          <xdr:nvGraphicFramePr>
            <xdr:cNvPr id="29" name="slcRegion_visual">
              <a:extLst>
                <a:ext uri="{FF2B5EF4-FFF2-40B4-BE49-F238E27FC236}">
                  <a16:creationId xmlns:a16="http://schemas.microsoft.com/office/drawing/2014/main" id="{D63E98D9-6AE4-A0D0-6E77-3E59DA78CD5B}"/>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dr:sp macro="" textlink="">
          <xdr:nvSpPr>
            <xdr:cNvPr id="0" name=""/>
            <xdr:cNvSpPr>
              <a:spLocks noTextEdit="1"/>
            </xdr:cNvSpPr>
          </xdr:nvSpPr>
          <xdr:spPr>
            <a:xfrm>
              <a:off x="11286564" y="543858"/>
              <a:ext cx="1755737" cy="11199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11</xdr:row>
      <xdr:rowOff>121920</xdr:rowOff>
    </xdr:from>
    <xdr:to>
      <xdr:col>21</xdr:col>
      <xdr:colOff>566419</xdr:colOff>
      <xdr:row>20</xdr:row>
      <xdr:rowOff>137160</xdr:rowOff>
    </xdr:to>
    <mc:AlternateContent xmlns:mc="http://schemas.openxmlformats.org/markup-compatibility/2006">
      <mc:Choice xmlns:a14="http://schemas.microsoft.com/office/drawing/2010/main" Requires="a14">
        <xdr:graphicFrame macro="">
          <xdr:nvGraphicFramePr>
            <xdr:cNvPr id="30" name="slcCategory_visual">
              <a:extLst>
                <a:ext uri="{FF2B5EF4-FFF2-40B4-BE49-F238E27FC236}">
                  <a16:creationId xmlns:a16="http://schemas.microsoft.com/office/drawing/2014/main" id="{FDF9C7CF-784A-DD5D-A0B9-F1F260FF2743}"/>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1286564" y="1765449"/>
              <a:ext cx="1755737" cy="14944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21</xdr:row>
      <xdr:rowOff>71120</xdr:rowOff>
    </xdr:from>
    <xdr:to>
      <xdr:col>21</xdr:col>
      <xdr:colOff>566419</xdr:colOff>
      <xdr:row>40</xdr:row>
      <xdr:rowOff>60960</xdr:rowOff>
    </xdr:to>
    <mc:AlternateContent xmlns:mc="http://schemas.openxmlformats.org/markup-compatibility/2006">
      <mc:Choice xmlns:a14="http://schemas.microsoft.com/office/drawing/2010/main" Requires="a14">
        <xdr:graphicFrame macro="">
          <xdr:nvGraphicFramePr>
            <xdr:cNvPr id="31" name="slcMonth_visual">
              <a:extLst>
                <a:ext uri="{FF2B5EF4-FFF2-40B4-BE49-F238E27FC236}">
                  <a16:creationId xmlns:a16="http://schemas.microsoft.com/office/drawing/2014/main" id="{58259C7B-4C18-5571-4D61-EFA660844957}"/>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1286564" y="3358179"/>
              <a:ext cx="1755737" cy="31125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430706</xdr:colOff>
      <xdr:row>5</xdr:row>
      <xdr:rowOff>91440</xdr:rowOff>
    </xdr:from>
    <xdr:to>
      <xdr:col>22</xdr:col>
      <xdr:colOff>148414</xdr:colOff>
      <xdr:row>10</xdr:row>
      <xdr:rowOff>91440</xdr:rowOff>
    </xdr:to>
    <xdr:sp macro="" textlink="">
      <xdr:nvSpPr>
        <xdr:cNvPr id="2" name="Rectangle: Rounded Corners 1">
          <a:extLst>
            <a:ext uri="{FF2B5EF4-FFF2-40B4-BE49-F238E27FC236}">
              <a16:creationId xmlns:a16="http://schemas.microsoft.com/office/drawing/2014/main" id="{074F039D-7825-B469-CC3E-EB7F87BC8192}"/>
            </a:ext>
          </a:extLst>
        </xdr:cNvPr>
        <xdr:cNvSpPr/>
      </xdr:nvSpPr>
      <xdr:spPr>
        <a:xfrm>
          <a:off x="11403506" y="1005840"/>
          <a:ext cx="2156108" cy="914400"/>
        </a:xfrm>
        <a:prstGeom prst="roundRect">
          <a:avLst/>
        </a:prstGeom>
        <a:effectLst>
          <a:glow rad="63500">
            <a:schemeClr val="accent3">
              <a:satMod val="175000"/>
              <a:alpha val="40000"/>
            </a:schemeClr>
          </a:glo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2000" b="0" cap="none" spc="0">
              <a:ln w="0"/>
              <a:solidFill>
                <a:schemeClr val="tx1"/>
              </a:solidFill>
              <a:effectLst>
                <a:outerShdw blurRad="38100" dist="19050" dir="2700000" algn="tl" rotWithShape="0">
                  <a:schemeClr val="dk1">
                    <a:alpha val="40000"/>
                  </a:schemeClr>
                </a:outerShdw>
              </a:effectLst>
              <a:latin typeface="Arial Rounded MT Bold" panose="020F0704030504030204" pitchFamily="34" charset="0"/>
            </a:rPr>
            <a:t>Create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sham" refreshedDate="46305.791424189818" createdVersion="8" refreshedVersion="8" minRefreshableVersion="3" recordCount="500" xr:uid="{3A65278A-B11D-4A19-9D76-B02A1528E8C5}">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10635732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AAED52-E62B-4C34-BAC1-B31C3504C724}" name="PT_KPI" cacheId="24"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compact="0" compactData="0" multipleFieldFilters="0">
  <location ref="K5:L9" firstHeaderRow="0" firstDataRow="0"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dataField="1" compact="0" outline="0" showAll="0"/>
    <pivotField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h="1" x="3"/>
        <item h="1" x="1"/>
        <item h="1"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8393E3-1DC1-4A20-98E7-8CE7A30C17D6}" name="pvtTopProducts"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35:G43" firstHeaderRow="1" firstDataRow="1"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compact="0" outline="0" showAll="0"/>
    <pivotField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h="1" x="3"/>
        <item h="1" x="1"/>
        <item h="1"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8">
    <i>
      <x/>
    </i>
    <i>
      <x v="1"/>
    </i>
    <i>
      <x v="2"/>
    </i>
    <i>
      <x v="3"/>
    </i>
    <i>
      <x v="4"/>
    </i>
    <i>
      <x v="5"/>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AA85A2-EF12-4D22-9D95-21C940BCE96F}" name="pvtSegment"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location ref="F20:G24" firstHeaderRow="1" firstDataRow="1"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compact="0" outline="0" showAll="0"/>
    <pivotField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h="1" x="3"/>
        <item h="1" x="1"/>
        <item h="1"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A3F525-2967-45C9-8F8F-C974146E63BE}" name="pvtCategory"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2:G4" firstHeaderRow="1" firstDataRow="1"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compact="0" outline="0" showAll="0"/>
    <pivotField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h="1" x="3"/>
        <item h="1" x="1"/>
        <item h="1"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2">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75B5B4-A1A2-4A5F-9B77-0293997F16E7}" name="pvtManager"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35:B42" firstHeaderRow="1" firstDataRow="1"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compact="0" outline="0" showAll="0"/>
    <pivotField compact="0" outline="0" showAll="0">
      <items count="5">
        <item h="1" x="2"/>
        <item h="1" x="3"/>
        <item h="1"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h="1" x="3"/>
        <item h="1" x="1"/>
        <item h="1"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7">
    <i>
      <x/>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F0CDD0-80F1-4195-A6D9-909A820F4295}" name="pvtRegion"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0:B22" firstHeaderRow="1" firstDataRow="1" firstDataCol="1"/>
  <pivotFields count="19">
    <pivotField compact="0" outline="0" showAll="0"/>
    <pivotField compact="0" outline="0" showAll="0">
      <items count="13">
        <item h="1" x="0"/>
        <item h="1" x="1"/>
        <item x="2"/>
        <item x="3"/>
        <item h="1" x="4"/>
        <item h="1" x="5"/>
        <item h="1" x="6"/>
        <item h="1" x="7"/>
        <item x="8"/>
        <item h="1" x="9"/>
        <item h="1" x="10"/>
        <item h="1" x="11"/>
        <item t="default"/>
      </items>
    </pivotField>
    <pivotField compact="0" outline="0" showAll="0"/>
    <pivotField axis="axisRow"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h="1" x="3"/>
        <item h="1" x="1"/>
        <item h="1"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2">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1FEF61-EE89-4F8E-A93B-AAA07C415A2E}" name="pvtMonthly"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C6" firstHeaderRow="0" firstDataRow="1" firstDataCol="1"/>
  <pivotFields count="19">
    <pivotField compact="0" outline="0" showAll="0"/>
    <pivotField axis="axisRow" compact="0" outline="0" showAll="0">
      <items count="13">
        <item h="1" x="0"/>
        <item h="1" x="1"/>
        <item x="2"/>
        <item x="3"/>
        <item h="1" x="4"/>
        <item h="1" x="5"/>
        <item h="1" x="6"/>
        <item h="1" x="7"/>
        <item x="8"/>
        <item h="1" x="9"/>
        <item h="1" x="10"/>
        <item h="1" x="11"/>
        <item t="default"/>
      </items>
    </pivotField>
    <pivotField compact="0" outline="0" showAll="0"/>
    <pivotField compact="0" outline="0" showAll="0">
      <items count="5">
        <item h="1" x="2"/>
        <item h="1" x="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h="1" x="3"/>
        <item h="1" x="1"/>
        <item h="1"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4">
    <i>
      <x v="2"/>
    </i>
    <i>
      <x v="3"/>
    </i>
    <i>
      <x v="8"/>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5BF0922F-8C59-449E-B430-EAB59D796B77}"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63573267">
      <items count="4">
        <i x="2"/>
        <i x="3"/>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DB98D8DC-99EE-45B2-ACC7-D9996960B65B}"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63573267">
      <items count="4">
        <i x="3"/>
        <i x="1"/>
        <i x="2"/>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E0A1BF6F-6C51-4BE3-814E-867BA6C24E7B}"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63573267">
      <items count="12">
        <i x="0"/>
        <i x="1"/>
        <i x="2" s="1"/>
        <i x="3" s="1"/>
        <i x="4"/>
        <i x="6"/>
        <i x="7"/>
        <i x="8" s="1"/>
        <i x="9"/>
        <i x="10"/>
        <i x="5" nd="1"/>
        <i x="1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54F4D3A0-F49F-497F-B16E-ACBEFC772C18}" cache="slcRegion" caption="Region" columnCount="2" style="SlicerStyleDark4" rowHeight="254000"/>
  <slicer name="slcCategory_visual" xr10:uid="{D7F5265A-AF8C-444E-A9B9-3AEA20CB08C4}" cache="slcCategory" caption="Product Category" style="SlicerStyleDark4" rowHeight="254000"/>
  <slicer name="slcMonth_visual" xr10:uid="{0487BE00-9C74-42B6-87B1-60E3983046F6}"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EFDD97-3801-4A03-BA2A-F0DE1B491247}" name="tblSales" displayName="tblSales" ref="A1:R501" totalsRowShown="0">
  <autoFilter ref="A1:R501" xr:uid="{EFEFDD97-3801-4A03-BA2A-F0DE1B491247}"/>
  <tableColumns count="18">
    <tableColumn id="1" xr3:uid="{57EFE98B-6EEE-495B-B248-2F688ED74E33}" name="Date"/>
    <tableColumn id="2" xr3:uid="{50D83587-96B0-43AA-8208-748E80B24452}" name="Month"/>
    <tableColumn id="3" xr3:uid="{43CD7E8E-D6E9-40F5-8990-596B63B8A166}" name="Order ID"/>
    <tableColumn id="4" xr3:uid="{6F4FD093-17CB-4BD4-87DD-0EE7E145BAF9}" name="Region"/>
    <tableColumn id="5" xr3:uid="{7CA9AC56-4061-4F4D-B26A-EC534527DD1D}" name="State"/>
    <tableColumn id="6" xr3:uid="{E88C1457-744A-4550-BF4B-E942AB1EB638}" name="City"/>
    <tableColumn id="7" xr3:uid="{82C7DF40-BFCC-48EF-A3FF-1BFADE6A07BC}" name="Sales Manager"/>
    <tableColumn id="8" xr3:uid="{2D402268-70E8-4774-A349-64CAC69F94C5}" name="Salesperson"/>
    <tableColumn id="9" xr3:uid="{DD060856-EF65-4F7F-8A1C-9DCC041FAC2D}" name="Channel"/>
    <tableColumn id="10" xr3:uid="{B0945CA0-B994-4D3A-8913-2764B96B3616}" name="Customer Segment"/>
    <tableColumn id="11" xr3:uid="{73E2B928-FA7E-4A2B-94B9-415129AAF72E}" name="Product Category"/>
    <tableColumn id="12" xr3:uid="{3C8A69A6-2EA9-4BBB-A14E-66777D96C2BC}" name="Product Name"/>
    <tableColumn id="13" xr3:uid="{17B58E0D-7EAD-484C-A01C-6FCCA3FE1250}" name="Units Sold"/>
    <tableColumn id="14" xr3:uid="{6B4DEAFD-B54A-4615-8DC8-3C792A016583}" name="Unit Price"/>
    <tableColumn id="15" xr3:uid="{FB736027-12DD-4289-9538-0943CDAF95D2}" name="Sales Amount"/>
    <tableColumn id="16" xr3:uid="{B8BF0B80-D26C-47B9-858A-21AD10C6DF38}" name="Target Sales"/>
    <tableColumn id="17" xr3:uid="{F4EBF2F4-4CD6-43D1-B495-EF9D36BB0E4D}" name="Lead ID"/>
    <tableColumn id="18" xr3:uid="{61C654BE-AD30-40D8-9851-7C43C5C31152}"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92F4F-19C9-45C4-8B07-BCA70E0E27AB}">
  <dimension ref="A11:E200"/>
  <sheetViews>
    <sheetView showGridLines="0" tabSelected="1" topLeftCell="A16" zoomScale="102" zoomScaleNormal="102" workbookViewId="0"/>
  </sheetViews>
  <sheetFormatPr defaultRowHeight="13.5" customHeight="1" x14ac:dyDescent="0.3"/>
  <cols>
    <col min="1" max="18" width="9" style="3" customWidth="1"/>
    <col min="19" max="19" width="1.109375" style="3" customWidth="1"/>
    <col min="20" max="22" width="9" style="3" customWidth="1"/>
    <col min="23" max="16384" width="8.88671875" style="3"/>
  </cols>
  <sheetData>
    <row r="11" ht="13.5" hidden="1" customHeight="1" x14ac:dyDescent="0.3"/>
    <row r="200" spans="1:5" ht="13.5" hidden="1" customHeight="1" x14ac:dyDescent="0.3">
      <c r="A200" s="4">
        <f>Pivot!L5</f>
        <v>1656062</v>
      </c>
      <c r="B200" s="4">
        <f>Pivot!L6</f>
        <v>960311</v>
      </c>
      <c r="C200" s="4">
        <f>Pivot!L7</f>
        <v>11</v>
      </c>
      <c r="D200" s="5">
        <f>Pivot!L8</f>
        <v>1.7245059152711986</v>
      </c>
      <c r="E200" s="4">
        <f>Pivot!L9</f>
        <v>47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topLeftCell="D105" workbookViewId="0">
      <selection activeCell="G17" sqref="G17"/>
    </sheetView>
  </sheetViews>
  <sheetFormatPr defaultRowHeight="14.4" x14ac:dyDescent="0.3"/>
  <cols>
    <col min="3" max="3" width="9.77734375" customWidth="1"/>
    <col min="7" max="7" width="14.77734375" customWidth="1"/>
    <col min="8" max="8" width="13.109375" customWidth="1"/>
    <col min="9" max="9" width="9.6640625" customWidth="1"/>
    <col min="10" max="10" width="18.6640625" customWidth="1"/>
    <col min="11" max="11" width="17.109375" customWidth="1"/>
    <col min="12" max="12" width="14.77734375" customWidth="1"/>
    <col min="13" max="13" width="11.33203125" customWidth="1"/>
    <col min="14" max="14" width="11" customWidth="1"/>
    <col min="15" max="15" width="14.21875" customWidth="1"/>
    <col min="16" max="16" width="12.88671875" customWidth="1"/>
    <col min="17" max="17" width="9"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x14ac:dyDescent="0.3">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x14ac:dyDescent="0.3">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x14ac:dyDescent="0.3">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x14ac:dyDescent="0.3">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x14ac:dyDescent="0.3">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x14ac:dyDescent="0.3">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x14ac:dyDescent="0.3">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x14ac:dyDescent="0.3">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x14ac:dyDescent="0.3">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x14ac:dyDescent="0.3">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x14ac:dyDescent="0.3">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x14ac:dyDescent="0.3">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x14ac:dyDescent="0.3">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x14ac:dyDescent="0.3">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x14ac:dyDescent="0.3">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x14ac:dyDescent="0.3">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x14ac:dyDescent="0.3">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x14ac:dyDescent="0.3">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x14ac:dyDescent="0.3">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x14ac:dyDescent="0.3">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x14ac:dyDescent="0.3">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x14ac:dyDescent="0.3">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x14ac:dyDescent="0.3">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x14ac:dyDescent="0.3">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x14ac:dyDescent="0.3">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x14ac:dyDescent="0.3">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x14ac:dyDescent="0.3">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x14ac:dyDescent="0.3">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x14ac:dyDescent="0.3">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x14ac:dyDescent="0.3">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x14ac:dyDescent="0.3">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x14ac:dyDescent="0.3">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x14ac:dyDescent="0.3">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x14ac:dyDescent="0.3">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x14ac:dyDescent="0.3">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x14ac:dyDescent="0.3">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x14ac:dyDescent="0.3">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x14ac:dyDescent="0.3">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x14ac:dyDescent="0.3">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x14ac:dyDescent="0.3">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x14ac:dyDescent="0.3">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x14ac:dyDescent="0.3">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x14ac:dyDescent="0.3">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x14ac:dyDescent="0.3">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x14ac:dyDescent="0.3">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x14ac:dyDescent="0.3">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x14ac:dyDescent="0.3">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x14ac:dyDescent="0.3">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x14ac:dyDescent="0.3">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x14ac:dyDescent="0.3">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x14ac:dyDescent="0.3">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x14ac:dyDescent="0.3">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x14ac:dyDescent="0.3">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x14ac:dyDescent="0.3">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x14ac:dyDescent="0.3">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x14ac:dyDescent="0.3">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x14ac:dyDescent="0.3">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x14ac:dyDescent="0.3">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x14ac:dyDescent="0.3">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x14ac:dyDescent="0.3">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x14ac:dyDescent="0.3">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x14ac:dyDescent="0.3">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x14ac:dyDescent="0.3">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x14ac:dyDescent="0.3">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x14ac:dyDescent="0.3">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x14ac:dyDescent="0.3">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x14ac:dyDescent="0.3">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x14ac:dyDescent="0.3">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x14ac:dyDescent="0.3">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x14ac:dyDescent="0.3">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x14ac:dyDescent="0.3">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x14ac:dyDescent="0.3">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x14ac:dyDescent="0.3">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x14ac:dyDescent="0.3">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x14ac:dyDescent="0.3">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x14ac:dyDescent="0.3">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x14ac:dyDescent="0.3">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x14ac:dyDescent="0.3">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x14ac:dyDescent="0.3">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x14ac:dyDescent="0.3">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x14ac:dyDescent="0.3">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x14ac:dyDescent="0.3">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x14ac:dyDescent="0.3">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x14ac:dyDescent="0.3">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x14ac:dyDescent="0.3">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x14ac:dyDescent="0.3">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x14ac:dyDescent="0.3">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x14ac:dyDescent="0.3">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x14ac:dyDescent="0.3">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x14ac:dyDescent="0.3">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x14ac:dyDescent="0.3">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x14ac:dyDescent="0.3">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x14ac:dyDescent="0.3">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x14ac:dyDescent="0.3">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x14ac:dyDescent="0.3">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x14ac:dyDescent="0.3">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x14ac:dyDescent="0.3">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x14ac:dyDescent="0.3">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x14ac:dyDescent="0.3">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x14ac:dyDescent="0.3">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x14ac:dyDescent="0.3">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x14ac:dyDescent="0.3">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x14ac:dyDescent="0.3">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x14ac:dyDescent="0.3">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x14ac:dyDescent="0.3">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x14ac:dyDescent="0.3">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x14ac:dyDescent="0.3">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x14ac:dyDescent="0.3">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x14ac:dyDescent="0.3">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x14ac:dyDescent="0.3">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x14ac:dyDescent="0.3">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x14ac:dyDescent="0.3">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x14ac:dyDescent="0.3">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x14ac:dyDescent="0.3">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x14ac:dyDescent="0.3">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x14ac:dyDescent="0.3">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x14ac:dyDescent="0.3">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x14ac:dyDescent="0.3">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x14ac:dyDescent="0.3">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x14ac:dyDescent="0.3">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x14ac:dyDescent="0.3">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x14ac:dyDescent="0.3">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x14ac:dyDescent="0.3">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x14ac:dyDescent="0.3">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x14ac:dyDescent="0.3">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x14ac:dyDescent="0.3">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x14ac:dyDescent="0.3">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x14ac:dyDescent="0.3">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x14ac:dyDescent="0.3">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x14ac:dyDescent="0.3">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x14ac:dyDescent="0.3">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x14ac:dyDescent="0.3">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x14ac:dyDescent="0.3">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x14ac:dyDescent="0.3">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x14ac:dyDescent="0.3">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x14ac:dyDescent="0.3">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x14ac:dyDescent="0.3">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x14ac:dyDescent="0.3">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x14ac:dyDescent="0.3">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x14ac:dyDescent="0.3">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x14ac:dyDescent="0.3">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x14ac:dyDescent="0.3">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x14ac:dyDescent="0.3">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x14ac:dyDescent="0.3">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x14ac:dyDescent="0.3">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x14ac:dyDescent="0.3">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x14ac:dyDescent="0.3">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x14ac:dyDescent="0.3">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x14ac:dyDescent="0.3">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x14ac:dyDescent="0.3">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x14ac:dyDescent="0.3">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x14ac:dyDescent="0.3">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x14ac:dyDescent="0.3">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x14ac:dyDescent="0.3">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x14ac:dyDescent="0.3">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x14ac:dyDescent="0.3">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x14ac:dyDescent="0.3">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x14ac:dyDescent="0.3">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x14ac:dyDescent="0.3">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x14ac:dyDescent="0.3">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x14ac:dyDescent="0.3">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x14ac:dyDescent="0.3">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x14ac:dyDescent="0.3">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x14ac:dyDescent="0.3">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x14ac:dyDescent="0.3">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x14ac:dyDescent="0.3">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x14ac:dyDescent="0.3">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x14ac:dyDescent="0.3">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x14ac:dyDescent="0.3">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x14ac:dyDescent="0.3">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x14ac:dyDescent="0.3">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x14ac:dyDescent="0.3">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x14ac:dyDescent="0.3">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x14ac:dyDescent="0.3">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x14ac:dyDescent="0.3">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x14ac:dyDescent="0.3">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x14ac:dyDescent="0.3">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x14ac:dyDescent="0.3">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x14ac:dyDescent="0.3">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x14ac:dyDescent="0.3">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x14ac:dyDescent="0.3">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x14ac:dyDescent="0.3">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x14ac:dyDescent="0.3">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x14ac:dyDescent="0.3">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x14ac:dyDescent="0.3">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x14ac:dyDescent="0.3">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x14ac:dyDescent="0.3">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x14ac:dyDescent="0.3">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x14ac:dyDescent="0.3">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x14ac:dyDescent="0.3">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x14ac:dyDescent="0.3">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x14ac:dyDescent="0.3">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x14ac:dyDescent="0.3">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x14ac:dyDescent="0.3">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x14ac:dyDescent="0.3">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x14ac:dyDescent="0.3">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x14ac:dyDescent="0.3">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x14ac:dyDescent="0.3">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x14ac:dyDescent="0.3">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x14ac:dyDescent="0.3">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x14ac:dyDescent="0.3">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x14ac:dyDescent="0.3">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x14ac:dyDescent="0.3">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x14ac:dyDescent="0.3">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x14ac:dyDescent="0.3">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x14ac:dyDescent="0.3">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x14ac:dyDescent="0.3">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x14ac:dyDescent="0.3">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x14ac:dyDescent="0.3">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x14ac:dyDescent="0.3">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x14ac:dyDescent="0.3">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x14ac:dyDescent="0.3">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x14ac:dyDescent="0.3">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x14ac:dyDescent="0.3">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x14ac:dyDescent="0.3">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x14ac:dyDescent="0.3">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x14ac:dyDescent="0.3">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x14ac:dyDescent="0.3">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x14ac:dyDescent="0.3">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x14ac:dyDescent="0.3">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x14ac:dyDescent="0.3">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x14ac:dyDescent="0.3">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x14ac:dyDescent="0.3">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x14ac:dyDescent="0.3">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x14ac:dyDescent="0.3">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x14ac:dyDescent="0.3">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x14ac:dyDescent="0.3">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x14ac:dyDescent="0.3">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x14ac:dyDescent="0.3">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x14ac:dyDescent="0.3">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x14ac:dyDescent="0.3">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x14ac:dyDescent="0.3">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x14ac:dyDescent="0.3">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x14ac:dyDescent="0.3">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x14ac:dyDescent="0.3">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x14ac:dyDescent="0.3">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x14ac:dyDescent="0.3">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x14ac:dyDescent="0.3">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x14ac:dyDescent="0.3">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x14ac:dyDescent="0.3">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x14ac:dyDescent="0.3">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x14ac:dyDescent="0.3">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x14ac:dyDescent="0.3">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x14ac:dyDescent="0.3">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x14ac:dyDescent="0.3">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x14ac:dyDescent="0.3">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x14ac:dyDescent="0.3">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x14ac:dyDescent="0.3">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x14ac:dyDescent="0.3">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x14ac:dyDescent="0.3">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x14ac:dyDescent="0.3">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x14ac:dyDescent="0.3">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x14ac:dyDescent="0.3">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x14ac:dyDescent="0.3">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x14ac:dyDescent="0.3">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x14ac:dyDescent="0.3">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x14ac:dyDescent="0.3">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x14ac:dyDescent="0.3">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x14ac:dyDescent="0.3">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x14ac:dyDescent="0.3">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x14ac:dyDescent="0.3">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x14ac:dyDescent="0.3">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x14ac:dyDescent="0.3">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x14ac:dyDescent="0.3">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x14ac:dyDescent="0.3">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x14ac:dyDescent="0.3">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x14ac:dyDescent="0.3">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x14ac:dyDescent="0.3">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x14ac:dyDescent="0.3">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x14ac:dyDescent="0.3">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x14ac:dyDescent="0.3">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x14ac:dyDescent="0.3">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x14ac:dyDescent="0.3">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x14ac:dyDescent="0.3">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x14ac:dyDescent="0.3">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x14ac:dyDescent="0.3">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x14ac:dyDescent="0.3">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x14ac:dyDescent="0.3">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x14ac:dyDescent="0.3">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x14ac:dyDescent="0.3">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x14ac:dyDescent="0.3">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x14ac:dyDescent="0.3">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x14ac:dyDescent="0.3">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x14ac:dyDescent="0.3">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x14ac:dyDescent="0.3">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x14ac:dyDescent="0.3">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x14ac:dyDescent="0.3">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x14ac:dyDescent="0.3">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x14ac:dyDescent="0.3">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x14ac:dyDescent="0.3">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x14ac:dyDescent="0.3">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x14ac:dyDescent="0.3">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x14ac:dyDescent="0.3">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x14ac:dyDescent="0.3">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x14ac:dyDescent="0.3">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x14ac:dyDescent="0.3">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x14ac:dyDescent="0.3">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x14ac:dyDescent="0.3">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x14ac:dyDescent="0.3">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x14ac:dyDescent="0.3">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x14ac:dyDescent="0.3">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x14ac:dyDescent="0.3">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x14ac:dyDescent="0.3">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x14ac:dyDescent="0.3">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x14ac:dyDescent="0.3">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x14ac:dyDescent="0.3">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x14ac:dyDescent="0.3">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x14ac:dyDescent="0.3">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x14ac:dyDescent="0.3">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x14ac:dyDescent="0.3">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x14ac:dyDescent="0.3">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x14ac:dyDescent="0.3">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x14ac:dyDescent="0.3">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x14ac:dyDescent="0.3">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x14ac:dyDescent="0.3">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x14ac:dyDescent="0.3">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x14ac:dyDescent="0.3">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x14ac:dyDescent="0.3">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x14ac:dyDescent="0.3">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x14ac:dyDescent="0.3">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x14ac:dyDescent="0.3">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x14ac:dyDescent="0.3">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x14ac:dyDescent="0.3">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x14ac:dyDescent="0.3">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x14ac:dyDescent="0.3">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x14ac:dyDescent="0.3">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x14ac:dyDescent="0.3">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x14ac:dyDescent="0.3">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x14ac:dyDescent="0.3">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x14ac:dyDescent="0.3">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x14ac:dyDescent="0.3">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x14ac:dyDescent="0.3">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x14ac:dyDescent="0.3">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x14ac:dyDescent="0.3">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x14ac:dyDescent="0.3">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x14ac:dyDescent="0.3">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x14ac:dyDescent="0.3">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x14ac:dyDescent="0.3">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x14ac:dyDescent="0.3">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x14ac:dyDescent="0.3">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x14ac:dyDescent="0.3">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x14ac:dyDescent="0.3">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x14ac:dyDescent="0.3">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x14ac:dyDescent="0.3">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x14ac:dyDescent="0.3">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x14ac:dyDescent="0.3">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x14ac:dyDescent="0.3">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x14ac:dyDescent="0.3">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x14ac:dyDescent="0.3">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x14ac:dyDescent="0.3">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x14ac:dyDescent="0.3">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x14ac:dyDescent="0.3">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x14ac:dyDescent="0.3">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x14ac:dyDescent="0.3">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x14ac:dyDescent="0.3">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x14ac:dyDescent="0.3">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x14ac:dyDescent="0.3">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x14ac:dyDescent="0.3">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x14ac:dyDescent="0.3">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x14ac:dyDescent="0.3">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x14ac:dyDescent="0.3">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x14ac:dyDescent="0.3">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x14ac:dyDescent="0.3">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x14ac:dyDescent="0.3">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x14ac:dyDescent="0.3">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x14ac:dyDescent="0.3">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x14ac:dyDescent="0.3">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x14ac:dyDescent="0.3">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x14ac:dyDescent="0.3">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x14ac:dyDescent="0.3">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x14ac:dyDescent="0.3">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x14ac:dyDescent="0.3">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x14ac:dyDescent="0.3">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x14ac:dyDescent="0.3">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x14ac:dyDescent="0.3">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x14ac:dyDescent="0.3">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x14ac:dyDescent="0.3">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x14ac:dyDescent="0.3">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x14ac:dyDescent="0.3">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x14ac:dyDescent="0.3">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x14ac:dyDescent="0.3">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x14ac:dyDescent="0.3">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x14ac:dyDescent="0.3">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x14ac:dyDescent="0.3">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x14ac:dyDescent="0.3">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x14ac:dyDescent="0.3">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x14ac:dyDescent="0.3">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x14ac:dyDescent="0.3">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x14ac:dyDescent="0.3">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x14ac:dyDescent="0.3">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x14ac:dyDescent="0.3">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x14ac:dyDescent="0.3">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x14ac:dyDescent="0.3">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x14ac:dyDescent="0.3">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x14ac:dyDescent="0.3">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x14ac:dyDescent="0.3">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x14ac:dyDescent="0.3">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x14ac:dyDescent="0.3">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x14ac:dyDescent="0.3">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x14ac:dyDescent="0.3">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x14ac:dyDescent="0.3">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x14ac:dyDescent="0.3">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x14ac:dyDescent="0.3">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x14ac:dyDescent="0.3">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x14ac:dyDescent="0.3">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x14ac:dyDescent="0.3">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x14ac:dyDescent="0.3">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x14ac:dyDescent="0.3">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x14ac:dyDescent="0.3">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x14ac:dyDescent="0.3">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x14ac:dyDescent="0.3">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x14ac:dyDescent="0.3">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x14ac:dyDescent="0.3">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x14ac:dyDescent="0.3">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x14ac:dyDescent="0.3">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x14ac:dyDescent="0.3">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x14ac:dyDescent="0.3">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x14ac:dyDescent="0.3">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x14ac:dyDescent="0.3">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x14ac:dyDescent="0.3">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x14ac:dyDescent="0.3">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x14ac:dyDescent="0.3">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x14ac:dyDescent="0.3">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x14ac:dyDescent="0.3">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x14ac:dyDescent="0.3">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x14ac:dyDescent="0.3">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x14ac:dyDescent="0.3">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x14ac:dyDescent="0.3">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x14ac:dyDescent="0.3">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x14ac:dyDescent="0.3">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x14ac:dyDescent="0.3">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x14ac:dyDescent="0.3">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x14ac:dyDescent="0.3">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x14ac:dyDescent="0.3">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x14ac:dyDescent="0.3">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x14ac:dyDescent="0.3">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x14ac:dyDescent="0.3">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x14ac:dyDescent="0.3">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x14ac:dyDescent="0.3">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x14ac:dyDescent="0.3">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x14ac:dyDescent="0.3">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x14ac:dyDescent="0.3">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x14ac:dyDescent="0.3">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x14ac:dyDescent="0.3">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x14ac:dyDescent="0.3">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x14ac:dyDescent="0.3">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x14ac:dyDescent="0.3">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x14ac:dyDescent="0.3">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x14ac:dyDescent="0.3">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x14ac:dyDescent="0.3">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x14ac:dyDescent="0.3">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x14ac:dyDescent="0.3">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x14ac:dyDescent="0.3">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x14ac:dyDescent="0.3">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x14ac:dyDescent="0.3">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x14ac:dyDescent="0.3">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x14ac:dyDescent="0.3">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x14ac:dyDescent="0.3">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x14ac:dyDescent="0.3">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x14ac:dyDescent="0.3">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x14ac:dyDescent="0.3">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x14ac:dyDescent="0.3">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x14ac:dyDescent="0.3">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x14ac:dyDescent="0.3">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x14ac:dyDescent="0.3">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x14ac:dyDescent="0.3">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x14ac:dyDescent="0.3">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x14ac:dyDescent="0.3">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x14ac:dyDescent="0.3">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x14ac:dyDescent="0.3">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x14ac:dyDescent="0.3">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x14ac:dyDescent="0.3">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x14ac:dyDescent="0.3">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x14ac:dyDescent="0.3">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x14ac:dyDescent="0.3">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x14ac:dyDescent="0.3">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x14ac:dyDescent="0.3">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x14ac:dyDescent="0.3">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x14ac:dyDescent="0.3">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x14ac:dyDescent="0.3">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x14ac:dyDescent="0.3">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x14ac:dyDescent="0.3">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x14ac:dyDescent="0.3">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x14ac:dyDescent="0.3">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x14ac:dyDescent="0.3">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x14ac:dyDescent="0.3">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x14ac:dyDescent="0.3">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x14ac:dyDescent="0.3">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x14ac:dyDescent="0.3">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x14ac:dyDescent="0.3">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x14ac:dyDescent="0.3">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x14ac:dyDescent="0.3">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x14ac:dyDescent="0.3">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x14ac:dyDescent="0.3">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x14ac:dyDescent="0.3">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x14ac:dyDescent="0.3">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x14ac:dyDescent="0.3">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x14ac:dyDescent="0.3">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x14ac:dyDescent="0.3">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A67D-9D14-45C0-B47A-A889C01D72EF}">
  <dimension ref="A2:L43"/>
  <sheetViews>
    <sheetView workbookViewId="0"/>
  </sheetViews>
  <sheetFormatPr defaultRowHeight="14.4" x14ac:dyDescent="0.3"/>
  <cols>
    <col min="1" max="1" width="10.5546875" bestFit="1" customWidth="1"/>
    <col min="2" max="2" width="14.88671875" bestFit="1" customWidth="1"/>
    <col min="3" max="3" width="10.21875" bestFit="1" customWidth="1"/>
    <col min="6" max="6" width="11.21875" bestFit="1" customWidth="1"/>
    <col min="7" max="7" width="15.33203125" bestFit="1" customWidth="1"/>
    <col min="11" max="11" width="19.33203125" bestFit="1" customWidth="1"/>
    <col min="12" max="12" width="9.109375" bestFit="1" customWidth="1"/>
    <col min="13" max="13" width="15.5546875" bestFit="1" customWidth="1"/>
    <col min="14" max="14" width="11.109375" bestFit="1" customWidth="1"/>
    <col min="15" max="15" width="20" bestFit="1" customWidth="1"/>
  </cols>
  <sheetData>
    <row r="2" spans="1:12" x14ac:dyDescent="0.3">
      <c r="B2" t="s">
        <v>1574</v>
      </c>
      <c r="C2" t="s">
        <v>1575</v>
      </c>
      <c r="G2" t="s">
        <v>1578</v>
      </c>
    </row>
    <row r="3" spans="1:12" x14ac:dyDescent="0.3">
      <c r="A3" t="s">
        <v>265</v>
      </c>
      <c r="B3" s="1">
        <v>367478</v>
      </c>
      <c r="C3" s="1">
        <v>194262</v>
      </c>
      <c r="F3" t="s">
        <v>28</v>
      </c>
      <c r="G3" s="1">
        <v>1656062</v>
      </c>
    </row>
    <row r="4" spans="1:12" x14ac:dyDescent="0.3">
      <c r="A4" t="s">
        <v>362</v>
      </c>
      <c r="B4" s="1">
        <v>561637</v>
      </c>
      <c r="C4" s="1">
        <v>487979</v>
      </c>
      <c r="F4" t="s">
        <v>1573</v>
      </c>
      <c r="G4" s="1">
        <v>1656062</v>
      </c>
    </row>
    <row r="5" spans="1:12" x14ac:dyDescent="0.3">
      <c r="A5" t="s">
        <v>819</v>
      </c>
      <c r="B5" s="1">
        <v>726947</v>
      </c>
      <c r="C5" s="1">
        <v>278070</v>
      </c>
      <c r="K5" t="s">
        <v>1574</v>
      </c>
      <c r="L5" s="1">
        <v>1656062</v>
      </c>
    </row>
    <row r="6" spans="1:12" x14ac:dyDescent="0.3">
      <c r="A6" t="s">
        <v>1573</v>
      </c>
      <c r="B6" s="1">
        <v>1656062</v>
      </c>
      <c r="C6" s="1">
        <v>960311</v>
      </c>
      <c r="K6" t="s">
        <v>1575</v>
      </c>
      <c r="L6" s="1">
        <v>960311</v>
      </c>
    </row>
    <row r="7" spans="1:12" x14ac:dyDescent="0.3">
      <c r="K7" t="s">
        <v>1582</v>
      </c>
      <c r="L7" s="1">
        <v>11</v>
      </c>
    </row>
    <row r="8" spans="1:12" x14ac:dyDescent="0.3">
      <c r="K8" t="s">
        <v>1583</v>
      </c>
      <c r="L8" s="2">
        <v>1.7245059152711986</v>
      </c>
    </row>
    <row r="9" spans="1:12" x14ac:dyDescent="0.3">
      <c r="K9" t="s">
        <v>1581</v>
      </c>
      <c r="L9" s="1">
        <v>47</v>
      </c>
    </row>
    <row r="20" spans="1:7" x14ac:dyDescent="0.3">
      <c r="B20" t="s">
        <v>1576</v>
      </c>
      <c r="G20" t="s">
        <v>1579</v>
      </c>
    </row>
    <row r="21" spans="1:7" x14ac:dyDescent="0.3">
      <c r="A21" t="s">
        <v>33</v>
      </c>
      <c r="B21" s="1">
        <v>1656062</v>
      </c>
      <c r="F21" t="s">
        <v>27</v>
      </c>
      <c r="G21" s="1">
        <v>497028</v>
      </c>
    </row>
    <row r="22" spans="1:7" x14ac:dyDescent="0.3">
      <c r="A22" t="s">
        <v>1573</v>
      </c>
      <c r="B22" s="1">
        <v>1656062</v>
      </c>
      <c r="F22" t="s">
        <v>59</v>
      </c>
      <c r="G22" s="1">
        <v>716510</v>
      </c>
    </row>
    <row r="23" spans="1:7" x14ac:dyDescent="0.3">
      <c r="F23" t="s">
        <v>52</v>
      </c>
      <c r="G23" s="1">
        <v>442524</v>
      </c>
    </row>
    <row r="24" spans="1:7" x14ac:dyDescent="0.3">
      <c r="F24" t="s">
        <v>1573</v>
      </c>
      <c r="G24" s="1">
        <v>1656062</v>
      </c>
    </row>
    <row r="35" spans="1:7" x14ac:dyDescent="0.3">
      <c r="B35" t="s">
        <v>1577</v>
      </c>
      <c r="G35" t="s">
        <v>1580</v>
      </c>
    </row>
    <row r="36" spans="1:7" x14ac:dyDescent="0.3">
      <c r="A36" t="s">
        <v>24</v>
      </c>
      <c r="B36" s="1">
        <v>361818</v>
      </c>
      <c r="F36" t="s">
        <v>53</v>
      </c>
      <c r="G36" s="1">
        <v>141378</v>
      </c>
    </row>
    <row r="37" spans="1:7" x14ac:dyDescent="0.3">
      <c r="A37" t="s">
        <v>112</v>
      </c>
      <c r="B37" s="1">
        <v>460883</v>
      </c>
      <c r="F37" t="s">
        <v>29</v>
      </c>
      <c r="G37" s="1">
        <v>99407</v>
      </c>
    </row>
    <row r="38" spans="1:7" x14ac:dyDescent="0.3">
      <c r="A38" t="s">
        <v>35</v>
      </c>
      <c r="B38" s="1">
        <v>71524</v>
      </c>
      <c r="F38" t="s">
        <v>60</v>
      </c>
      <c r="G38" s="1">
        <v>414641</v>
      </c>
    </row>
    <row r="39" spans="1:7" x14ac:dyDescent="0.3">
      <c r="A39" t="s">
        <v>89</v>
      </c>
      <c r="B39" s="1">
        <v>349272</v>
      </c>
      <c r="F39" t="s">
        <v>66</v>
      </c>
      <c r="G39" s="1">
        <v>428708</v>
      </c>
    </row>
    <row r="40" spans="1:7" x14ac:dyDescent="0.3">
      <c r="A40" t="s">
        <v>102</v>
      </c>
      <c r="B40" s="1">
        <v>102783</v>
      </c>
      <c r="F40" t="s">
        <v>39</v>
      </c>
      <c r="G40" s="1">
        <v>464754</v>
      </c>
    </row>
    <row r="41" spans="1:7" x14ac:dyDescent="0.3">
      <c r="A41" t="s">
        <v>116</v>
      </c>
      <c r="B41" s="1">
        <v>309782</v>
      </c>
      <c r="F41" t="s">
        <v>85</v>
      </c>
      <c r="G41" s="1">
        <v>74900</v>
      </c>
    </row>
    <row r="42" spans="1:7" x14ac:dyDescent="0.3">
      <c r="A42" t="s">
        <v>1573</v>
      </c>
      <c r="B42" s="1">
        <v>1656062</v>
      </c>
      <c r="F42" t="s">
        <v>117</v>
      </c>
      <c r="G42" s="1">
        <v>32274</v>
      </c>
    </row>
    <row r="43" spans="1:7" x14ac:dyDescent="0.3">
      <c r="F43" t="s">
        <v>1573</v>
      </c>
      <c r="G43" s="1">
        <v>1656062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sshaminijothi@gmail.com</cp:lastModifiedBy>
  <dcterms:created xsi:type="dcterms:W3CDTF">2026-05-08T06:02:11Z</dcterms:created>
  <dcterms:modified xsi:type="dcterms:W3CDTF">2026-10-10T13:33:59Z</dcterms:modified>
</cp:coreProperties>
</file>